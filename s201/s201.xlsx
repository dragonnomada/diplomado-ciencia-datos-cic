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ocuments/Diplomado Python y Ciencia de Datos - IPN/diplomado-ciencia-datos-cic/s201/"/>
    </mc:Choice>
  </mc:AlternateContent>
  <xr:revisionPtr revIDLastSave="0" documentId="8_{3BA291DB-B537-FB4B-9D21-72295D789D65}" xr6:coauthVersionLast="47" xr6:coauthVersionMax="47" xr10:uidLastSave="{00000000-0000-0000-0000-000000000000}"/>
  <bookViews>
    <workbookView xWindow="0" yWindow="0" windowWidth="38400" windowHeight="21600" xr2:uid="{2D4BC22B-B991-5841-AA2D-31B84726A20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E4" i="1" s="1"/>
  <c r="F4" i="1" s="1"/>
  <c r="G4" i="1" s="1"/>
  <c r="D5" i="1"/>
  <c r="E5" i="1" s="1"/>
  <c r="F5" i="1" s="1"/>
  <c r="G5" i="1" s="1"/>
  <c r="D6" i="1"/>
  <c r="E6" i="1" s="1"/>
  <c r="F6" i="1" s="1"/>
  <c r="G6" i="1" s="1"/>
  <c r="D7" i="1"/>
  <c r="E7" i="1" s="1"/>
  <c r="F7" i="1" s="1"/>
  <c r="G7" i="1" s="1"/>
  <c r="D8" i="1"/>
  <c r="E8" i="1" s="1"/>
  <c r="F8" i="1" s="1"/>
  <c r="G8" i="1" s="1"/>
  <c r="D9" i="1"/>
  <c r="E9" i="1" s="1"/>
  <c r="F9" i="1" s="1"/>
  <c r="G9" i="1" s="1"/>
  <c r="D10" i="1"/>
  <c r="E10" i="1" s="1"/>
  <c r="F10" i="1" s="1"/>
  <c r="G10" i="1" s="1"/>
  <c r="D11" i="1"/>
  <c r="E11" i="1" s="1"/>
  <c r="F11" i="1" s="1"/>
  <c r="G11" i="1" s="1"/>
  <c r="D12" i="1"/>
  <c r="E12" i="1" s="1"/>
  <c r="F12" i="1" s="1"/>
  <c r="G12" i="1" s="1"/>
  <c r="D13" i="1"/>
  <c r="E13" i="1" s="1"/>
  <c r="F13" i="1" s="1"/>
  <c r="G13" i="1" s="1"/>
  <c r="D14" i="1"/>
  <c r="E14" i="1" s="1"/>
  <c r="F14" i="1" s="1"/>
  <c r="G14" i="1" s="1"/>
  <c r="D15" i="1"/>
  <c r="E15" i="1" s="1"/>
  <c r="F15" i="1" s="1"/>
  <c r="G15" i="1" s="1"/>
  <c r="D16" i="1"/>
  <c r="E16" i="1" s="1"/>
  <c r="F16" i="1" s="1"/>
  <c r="G16" i="1" s="1"/>
  <c r="D3" i="1"/>
  <c r="E3" i="1" s="1"/>
  <c r="F3" i="1" s="1"/>
  <c r="G3" i="1" s="1"/>
  <c r="F17" i="1" l="1"/>
  <c r="G17" i="1"/>
</calcChain>
</file>

<file path=xl/sharedStrings.xml><?xml version="1.0" encoding="utf-8"?>
<sst xmlns="http://schemas.openxmlformats.org/spreadsheetml/2006/main" count="10" uniqueCount="10">
  <si>
    <t>x1</t>
  </si>
  <si>
    <t>x2</t>
  </si>
  <si>
    <t>y</t>
  </si>
  <si>
    <t>z</t>
  </si>
  <si>
    <t>b0</t>
  </si>
  <si>
    <t>b1</t>
  </si>
  <si>
    <t>b2</t>
  </si>
  <si>
    <t>E</t>
  </si>
  <si>
    <t>L</t>
  </si>
  <si>
    <t>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</si>
</sst>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3E5C-BEB2-9343-9365-54CFA803103F}">
  <dimension ref="A2:J17"/>
  <sheetViews>
    <sheetView tabSelected="1" zoomScale="157" workbookViewId="0">
      <selection activeCell="J5" sqref="J5"/>
    </sheetView>
  </sheetViews>
  <sheetFormatPr baseColWidth="10" defaultRowHeight="16" x14ac:dyDescent="0.2"/>
  <sheetData>
    <row r="2" spans="1:10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9</v>
      </c>
      <c r="F2" s="2" t="s">
        <v>7</v>
      </c>
      <c r="G2" s="3" t="s">
        <v>8</v>
      </c>
    </row>
    <row r="3" spans="1:10" x14ac:dyDescent="0.2">
      <c r="A3" s="1">
        <v>18</v>
      </c>
      <c r="B3" s="1">
        <v>45</v>
      </c>
      <c r="C3" s="1">
        <v>5.0999999999999996</v>
      </c>
      <c r="D3" s="1">
        <f>$J$3+$J$4*A3+$J$5*B3</f>
        <v>5.245000000000001</v>
      </c>
      <c r="E3" s="1">
        <f>D3</f>
        <v>5.245000000000001</v>
      </c>
      <c r="F3" s="1">
        <f>C3-E3</f>
        <v>-0.14500000000000135</v>
      </c>
      <c r="G3">
        <f>0.5 * F3^2</f>
        <v>1.0512500000000195E-2</v>
      </c>
      <c r="I3" t="s">
        <v>4</v>
      </c>
      <c r="J3">
        <v>16</v>
      </c>
    </row>
    <row r="4" spans="1:10" x14ac:dyDescent="0.2">
      <c r="A4" s="1">
        <v>19</v>
      </c>
      <c r="B4" s="1">
        <v>52</v>
      </c>
      <c r="C4" s="1">
        <v>4.8</v>
      </c>
      <c r="D4" s="1">
        <f t="shared" ref="D4:D16" si="0">$J$3+$J$4*A4+$J$5*B4</f>
        <v>3.8239999999999998</v>
      </c>
      <c r="E4" s="1">
        <f t="shared" ref="E4:E16" si="1">D4</f>
        <v>3.8239999999999998</v>
      </c>
      <c r="F4" s="1">
        <f t="shared" ref="F4:F16" si="2">C4-E4</f>
        <v>0.97599999999999998</v>
      </c>
      <c r="G4">
        <f t="shared" ref="G4:G16" si="3">0.5 * F4^2</f>
        <v>0.47628799999999999</v>
      </c>
      <c r="I4" t="s">
        <v>5</v>
      </c>
      <c r="J4">
        <v>-0.14000000000000001</v>
      </c>
    </row>
    <row r="5" spans="1:10" x14ac:dyDescent="0.2">
      <c r="A5" s="1">
        <v>20</v>
      </c>
      <c r="B5" s="1">
        <v>48</v>
      </c>
      <c r="C5" s="1">
        <v>4.9000000000000004</v>
      </c>
      <c r="D5" s="1">
        <f t="shared" si="0"/>
        <v>4.4160000000000004</v>
      </c>
      <c r="E5" s="1">
        <f t="shared" si="1"/>
        <v>4.4160000000000004</v>
      </c>
      <c r="F5" s="1">
        <f t="shared" si="2"/>
        <v>0.48399999999999999</v>
      </c>
      <c r="G5">
        <f t="shared" si="3"/>
        <v>0.117128</v>
      </c>
      <c r="I5" t="s">
        <v>6</v>
      </c>
      <c r="J5">
        <v>-0.183</v>
      </c>
    </row>
    <row r="6" spans="1:10" x14ac:dyDescent="0.2">
      <c r="A6" s="1">
        <v>21</v>
      </c>
      <c r="B6" s="1">
        <v>55</v>
      </c>
      <c r="C6" s="1">
        <v>4.2</v>
      </c>
      <c r="D6" s="1">
        <f t="shared" si="0"/>
        <v>2.9949999999999992</v>
      </c>
      <c r="E6" s="1">
        <f t="shared" si="1"/>
        <v>2.9949999999999992</v>
      </c>
      <c r="F6" s="1">
        <f t="shared" si="2"/>
        <v>1.205000000000001</v>
      </c>
      <c r="G6">
        <f t="shared" si="3"/>
        <v>0.72601250000000117</v>
      </c>
    </row>
    <row r="7" spans="1:10" x14ac:dyDescent="0.2">
      <c r="A7" s="1">
        <v>22</v>
      </c>
      <c r="B7" s="1">
        <v>52</v>
      </c>
      <c r="C7" s="1">
        <v>4.0999999999999996</v>
      </c>
      <c r="D7" s="1">
        <f t="shared" si="0"/>
        <v>3.4039999999999999</v>
      </c>
      <c r="E7" s="1">
        <f t="shared" si="1"/>
        <v>3.4039999999999999</v>
      </c>
      <c r="F7" s="1">
        <f t="shared" si="2"/>
        <v>0.69599999999999973</v>
      </c>
      <c r="G7">
        <f t="shared" si="3"/>
        <v>0.24220799999999981</v>
      </c>
    </row>
    <row r="8" spans="1:10" x14ac:dyDescent="0.2">
      <c r="A8" s="1">
        <v>23</v>
      </c>
      <c r="B8" s="1">
        <v>60</v>
      </c>
      <c r="C8" s="1">
        <v>3.5</v>
      </c>
      <c r="D8" s="1">
        <f t="shared" si="0"/>
        <v>1.7999999999999989</v>
      </c>
      <c r="E8" s="1">
        <f t="shared" si="1"/>
        <v>1.7999999999999989</v>
      </c>
      <c r="F8" s="1">
        <f t="shared" si="2"/>
        <v>1.7000000000000011</v>
      </c>
      <c r="G8">
        <f t="shared" si="3"/>
        <v>1.4450000000000018</v>
      </c>
    </row>
    <row r="9" spans="1:10" x14ac:dyDescent="0.2">
      <c r="A9" s="1">
        <v>25</v>
      </c>
      <c r="B9" s="1">
        <v>57</v>
      </c>
      <c r="C9" s="1">
        <v>3.8</v>
      </c>
      <c r="D9" s="1">
        <f t="shared" si="0"/>
        <v>2.0690000000000008</v>
      </c>
      <c r="E9" s="1">
        <f t="shared" si="1"/>
        <v>2.0690000000000008</v>
      </c>
      <c r="F9" s="1">
        <f t="shared" si="2"/>
        <v>1.730999999999999</v>
      </c>
      <c r="G9">
        <f t="shared" si="3"/>
        <v>1.4981804999999981</v>
      </c>
    </row>
    <row r="10" spans="1:10" x14ac:dyDescent="0.2">
      <c r="A10" s="1">
        <v>26</v>
      </c>
      <c r="B10" s="1">
        <v>63</v>
      </c>
      <c r="C10" s="1">
        <v>3.2</v>
      </c>
      <c r="D10" s="1">
        <f t="shared" si="0"/>
        <v>0.83099999999999952</v>
      </c>
      <c r="E10" s="1">
        <f t="shared" si="1"/>
        <v>0.83099999999999952</v>
      </c>
      <c r="F10" s="1">
        <f t="shared" si="2"/>
        <v>2.3690000000000007</v>
      </c>
      <c r="G10">
        <f t="shared" si="3"/>
        <v>2.8060805000000015</v>
      </c>
    </row>
    <row r="11" spans="1:10" x14ac:dyDescent="0.2">
      <c r="A11" s="1">
        <v>30</v>
      </c>
      <c r="B11" s="1">
        <v>60</v>
      </c>
      <c r="C11" s="1">
        <v>3.1</v>
      </c>
      <c r="D11" s="1">
        <f t="shared" si="0"/>
        <v>0.82000000000000028</v>
      </c>
      <c r="E11" s="1">
        <f t="shared" si="1"/>
        <v>0.82000000000000028</v>
      </c>
      <c r="F11" s="1">
        <f t="shared" si="2"/>
        <v>2.2799999999999998</v>
      </c>
      <c r="G11">
        <f t="shared" si="3"/>
        <v>2.5991999999999997</v>
      </c>
    </row>
    <row r="12" spans="1:10" x14ac:dyDescent="0.2">
      <c r="A12" s="1">
        <v>31</v>
      </c>
      <c r="B12" s="1">
        <v>70</v>
      </c>
      <c r="C12" s="1">
        <v>2.5</v>
      </c>
      <c r="D12" s="1">
        <f t="shared" si="0"/>
        <v>-1.1500000000000004</v>
      </c>
      <c r="E12" s="1">
        <f t="shared" si="1"/>
        <v>-1.1500000000000004</v>
      </c>
      <c r="F12" s="1">
        <f t="shared" si="2"/>
        <v>3.6500000000000004</v>
      </c>
      <c r="G12">
        <f t="shared" si="3"/>
        <v>6.6612500000000017</v>
      </c>
    </row>
    <row r="13" spans="1:10" x14ac:dyDescent="0.2">
      <c r="A13" s="1">
        <v>40</v>
      </c>
      <c r="B13" s="1">
        <v>62</v>
      </c>
      <c r="C13" s="1">
        <v>2.5</v>
      </c>
      <c r="D13" s="1">
        <f t="shared" si="0"/>
        <v>-0.94600000000000151</v>
      </c>
      <c r="E13" s="1">
        <f t="shared" si="1"/>
        <v>-0.94600000000000151</v>
      </c>
      <c r="F13" s="1">
        <f t="shared" si="2"/>
        <v>3.4460000000000015</v>
      </c>
      <c r="G13">
        <f t="shared" si="3"/>
        <v>5.9374580000000048</v>
      </c>
    </row>
    <row r="14" spans="1:10" x14ac:dyDescent="0.2">
      <c r="A14" s="1">
        <v>41</v>
      </c>
      <c r="B14" s="1">
        <v>68</v>
      </c>
      <c r="C14" s="1">
        <v>1.8</v>
      </c>
      <c r="D14" s="1">
        <f t="shared" si="0"/>
        <v>-2.1839999999999993</v>
      </c>
      <c r="E14" s="1">
        <f t="shared" si="1"/>
        <v>-2.1839999999999993</v>
      </c>
      <c r="F14" s="1">
        <f t="shared" si="2"/>
        <v>3.9839999999999991</v>
      </c>
      <c r="G14">
        <f t="shared" si="3"/>
        <v>7.9361279999999965</v>
      </c>
    </row>
    <row r="15" spans="1:10" x14ac:dyDescent="0.2">
      <c r="A15" s="1">
        <v>50</v>
      </c>
      <c r="B15" s="1">
        <v>58</v>
      </c>
      <c r="C15" s="1">
        <v>2.1</v>
      </c>
      <c r="D15" s="1">
        <f t="shared" si="0"/>
        <v>-1.613999999999999</v>
      </c>
      <c r="E15" s="1">
        <f t="shared" si="1"/>
        <v>-1.613999999999999</v>
      </c>
      <c r="F15" s="1">
        <f t="shared" si="2"/>
        <v>3.7139999999999991</v>
      </c>
      <c r="G15">
        <f t="shared" si="3"/>
        <v>6.8968979999999966</v>
      </c>
    </row>
    <row r="16" spans="1:10" ht="17" thickBot="1" x14ac:dyDescent="0.25">
      <c r="A16" s="1">
        <v>51</v>
      </c>
      <c r="B16" s="1">
        <v>64</v>
      </c>
      <c r="C16" s="1">
        <v>1.9</v>
      </c>
      <c r="D16" s="1">
        <f t="shared" si="0"/>
        <v>-2.8520000000000003</v>
      </c>
      <c r="E16" s="1">
        <f t="shared" si="1"/>
        <v>-2.8520000000000003</v>
      </c>
      <c r="F16" s="1">
        <f t="shared" si="2"/>
        <v>4.7520000000000007</v>
      </c>
      <c r="G16" s="4">
        <f t="shared" si="3"/>
        <v>11.290752000000003</v>
      </c>
    </row>
    <row r="17" spans="6:7" x14ac:dyDescent="0.2">
      <c r="F17" s="1">
        <f>SUM(F3:F16)</f>
        <v>30.841999999999999</v>
      </c>
      <c r="G17" s="5">
        <f>SUM(G3:G16)</f>
        <v>48.643096000000007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2026-09-03T02:30:26Z</dcterms:created>
  <dcterms:modified xsi:type="dcterms:W3CDTF">2026-09-03T04:07:50Z</dcterms:modified>
</cp:coreProperties>
</file>